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ages" sheetId="1" r:id="rId4"/>
    <sheet state="visible" name="Fields" sheetId="2" r:id="rId5"/>
    <sheet state="visible" name="Choice lists" sheetId="3" r:id="rId6"/>
  </sheets>
  <definedNames>
    <definedName hidden="1" localSheetId="0" name="_xlnm._FilterDatabase">Messages!$A$1:$E$22</definedName>
    <definedName hidden="1" localSheetId="1" name="_xlnm._FilterDatabase">Fields!$A$1:$K$57</definedName>
    <definedName hidden="1" localSheetId="2" name="_xlnm._FilterDatabase">'Choice lists'!$A$1:$E$37</definedName>
  </definedNames>
  <calcPr/>
  <extLst>
    <ext uri="GoogleSheetsCustomDataVersion2">
      <go:sheetsCustomData xmlns:go="http://customooxmlschemas.google.com/" r:id="rId7" roundtripDataChecksum="JPKSylUPEA+UAuYq98wstFCIo1Q8gabwxK+E2vm2GG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ID#AAACAheYi1A
Team Inspiration    (2026-09-07 21:59:39)
Counted from the Fields sheet, so it stays correct if rows are added there.</t>
      </text>
    </comment>
  </commentList>
  <extLst>
    <ext uri="GoogleSheetsCustomDataVersion2">
      <go:sheetsCustomData xmlns:go="http://customooxmlschemas.google.com/" r:id="rId1" roundtripDataSignature="AMtx7mhSn7Xdcq8tjHrUI9+rMHAW5eXCPA=="/>
    </ext>
  </extLst>
</comments>
</file>

<file path=xl/sharedStrings.xml><?xml version="1.0" encoding="utf-8"?>
<sst xmlns="http://schemas.openxmlformats.org/spreadsheetml/2006/main" count="583" uniqueCount="307">
  <si>
    <t>Message</t>
  </si>
  <si>
    <t>Kind</t>
  </si>
  <si>
    <t>From → To</t>
  </si>
  <si>
    <t>When it is sent</t>
  </si>
  <si>
    <t>Fields</t>
  </si>
  <si>
    <t>Field</t>
  </si>
  <si>
    <t>Type</t>
  </si>
  <si>
    <t>Repeated</t>
  </si>
  <si>
    <t>RxReport envelope</t>
  </si>
  <si>
    <t>Used for Inter-Vehicle Comms</t>
  </si>
  <si>
    <t>Envelope</t>
  </si>
  <si>
    <t>Applies to</t>
  </si>
  <si>
    <t>Units / range</t>
  </si>
  <si>
    <t>Vehicle → OCS → RoboCommand</t>
  </si>
  <si>
    <t>Wraps every report</t>
  </si>
  <si>
    <t>What it holds</t>
  </si>
  <si>
    <t>Our encoding (fill in)</t>
  </si>
  <si>
    <t>Bits (fill in)</t>
  </si>
  <si>
    <t>Mandatory Msg (2hz)</t>
  </si>
  <si>
    <t>Choice list</t>
  </si>
  <si>
    <t>Value</t>
  </si>
  <si>
    <t>Name</t>
  </si>
  <si>
    <t>Meaning</t>
  </si>
  <si>
    <t>Values in list</t>
  </si>
  <si>
    <t>RxCommand envelope</t>
  </si>
  <si>
    <t>RobotState</t>
  </si>
  <si>
    <t>Heartbeat</t>
  </si>
  <si>
    <t>STATE_UNKNOWN</t>
  </si>
  <si>
    <t>Never send. This is what an unset field looks like.</t>
  </si>
  <si>
    <t>Report body</t>
  </si>
  <si>
    <t>state</t>
  </si>
  <si>
    <t>choice (4)</t>
  </si>
  <si>
    <t>RoboCommand → OCS → Vehicle</t>
  </si>
  <si>
    <t>Wraps every command</t>
  </si>
  <si>
    <t>All</t>
  </si>
  <si>
    <t>4 choices</t>
  </si>
  <si>
    <t>Killed, manual, or autonomous. Every declared vehicle must reach autonomous before the run can start.</t>
  </si>
  <si>
    <t>RxRequest envelope</t>
  </si>
  <si>
    <t>OCS → RoboCommand</t>
  </si>
  <si>
    <t>Wraps every request</t>
  </si>
  <si>
    <t>position</t>
  </si>
  <si>
    <t>Where the vehicle is.</t>
  </si>
  <si>
    <t>spd_mps</t>
  </si>
  <si>
    <t>decimal</t>
  </si>
  <si>
    <t>metres/second</t>
  </si>
  <si>
    <t>Every vehicle → OCS → RoboCommand</t>
  </si>
  <si>
    <t>Speed over ground.</t>
  </si>
  <si>
    <t>Twice a second, continuously</t>
  </si>
  <si>
    <t>STATE_KILLED</t>
  </si>
  <si>
    <t>heading_deg</t>
  </si>
  <si>
    <t>Emergency stop is active.</t>
  </si>
  <si>
    <t>degrees, 0 = true north</t>
  </si>
  <si>
    <t>Heading, increasing clockwise. Goes not-a-number when GPS yaw is unresolved — that is deliberate, not a fault to scrub.</t>
  </si>
  <si>
    <t>SafePassageReport</t>
  </si>
  <si>
    <t>roll_deg</t>
  </si>
  <si>
    <t>STATE_MANUAL</t>
  </si>
  <si>
    <t>Under human control.</t>
  </si>
  <si>
    <t>USV/UUV (Core) or UAV (Adv) → OCS → RC</t>
  </si>
  <si>
    <t>degrees</t>
  </si>
  <si>
    <t>Roll angle.</t>
  </si>
  <si>
    <t>Task 1 — whenever detection changes</t>
  </si>
  <si>
    <t>pitch_deg</t>
  </si>
  <si>
    <t>STATE_AUTO</t>
  </si>
  <si>
    <t>Driving itself. Every declared vehicle must reach this before the run can start.</t>
  </si>
  <si>
    <t>Pitch angle.</t>
  </si>
  <si>
    <t>TaskTier</t>
  </si>
  <si>
    <t>altitude_hae_m</t>
  </si>
  <si>
    <t>TIER_UNKNOWN</t>
  </si>
  <si>
    <t>BuoyDetection</t>
  </si>
  <si>
    <t>UAV mainly</t>
  </si>
  <si>
    <t>Never send.</t>
  </si>
  <si>
    <t>metres</t>
  </si>
  <si>
    <t>Repeated element</t>
  </si>
  <si>
    <t>Height above the ellipsoid. NOT height above sea level.</t>
  </si>
  <si>
    <t>(inside SafePassageReport)</t>
  </si>
  <si>
    <t>One per buoy detected</t>
  </si>
  <si>
    <t>depth_m</t>
  </si>
  <si>
    <t>TIER_NONE</t>
  </si>
  <si>
    <t>UUV only</t>
  </si>
  <si>
    <t>Not attempting this task.</t>
  </si>
  <si>
    <t>Depth below the surface.</t>
  </si>
  <si>
    <t>current_task</t>
  </si>
  <si>
    <t>choice (6)</t>
  </si>
  <si>
    <t>TIER_CORE</t>
  </si>
  <si>
    <t>Base requirements only.</t>
  </si>
  <si>
    <t>6 choices</t>
  </si>
  <si>
    <t>PipelineSurveyReport</t>
  </si>
  <si>
    <t>Which task the vehicle believes it is executing. This is how RoboCommand decides an attempt has started or ended.</t>
  </si>
  <si>
    <t>UUV → USV → OCS → RC</t>
  </si>
  <si>
    <t>Task 2 — once, normally on surfacing</t>
  </si>
  <si>
    <t>vehicle_type</t>
  </si>
  <si>
    <t>TIER_ADVANCED</t>
  </si>
  <si>
    <t>Core plus advanced.</t>
  </si>
  <si>
    <t>Surface, underwater or air. A UUV stays UUV even while surfaced.</t>
  </si>
  <si>
    <t>TIER_DISRUPTIVE</t>
  </si>
  <si>
    <t>flight_phase</t>
  </si>
  <si>
    <t>Core plus advanced plus disruptive.</t>
  </si>
  <si>
    <t>ResourceDeliveryRequest</t>
  </si>
  <si>
    <t>choice (3)</t>
  </si>
  <si>
    <t>Whichever vehicle reads the code → OCS → RC</t>
  </si>
  <si>
    <t>UAV only</t>
  </si>
  <si>
    <t>Tasks 2 &amp; 3 — on reading the light code</t>
  </si>
  <si>
    <t>3 choices</t>
  </si>
  <si>
    <t>BeaconState</t>
  </si>
  <si>
    <t>On the ground or airborne. Surface and underwater vehicles leave it unset.</t>
  </si>
  <si>
    <t>BEACON_STATE_UNKNOWN</t>
  </si>
  <si>
    <t>Mission related MSG</t>
  </si>
  <si>
    <t>BEACON_STATE_OFF</t>
  </si>
  <si>
    <t>Not part of the safe route.</t>
  </si>
  <si>
    <t>DockingReport</t>
  </si>
  <si>
    <t>USV → OCS → RC</t>
  </si>
  <si>
    <t>Task 3 — on docking</t>
  </si>
  <si>
    <t>BEACON_STATE_FLASHING_RED</t>
  </si>
  <si>
    <t>Pass on the starboard side.</t>
  </si>
  <si>
    <t>entry_position</t>
  </si>
  <si>
    <t>USV/UUV/UAV</t>
  </si>
  <si>
    <t>Where the flashing blue entry buoy is.</t>
  </si>
  <si>
    <t>BEACON_STATE_FLASHING_GREEN</t>
  </si>
  <si>
    <t>Pass on the port side.</t>
  </si>
  <si>
    <t>exit_position</t>
  </si>
  <si>
    <t>FirefightingReport</t>
  </si>
  <si>
    <t>BEACON_STATE_FLASHING_BLUE</t>
  </si>
  <si>
    <t>Where the steady blue exit buoy is.</t>
  </si>
  <si>
    <t>Task 3 — on extinguishing</t>
  </si>
  <si>
    <t>Safe entry point.</t>
  </si>
  <si>
    <t>buoys</t>
  </si>
  <si>
    <t>yes</t>
  </si>
  <si>
    <t>BEACON_STATE_STEADY_BLUE</t>
  </si>
  <si>
    <t>Safe exit point.</t>
  </si>
  <si>
    <t>10 expected</t>
  </si>
  <si>
    <t>Every buoy detected. See BuoyDetection for what each entry holds.</t>
  </si>
  <si>
    <t>Color</t>
  </si>
  <si>
    <t>IncidentAck</t>
  </si>
  <si>
    <t>COLOR_UNKNOWN</t>
  </si>
  <si>
    <t>Targeted vehicle → OCS → RC</t>
  </si>
  <si>
    <t>UAV --&gt; USV</t>
  </si>
  <si>
    <t>Task 4 — immediately on any command</t>
  </si>
  <si>
    <t>Where that buoy is.</t>
  </si>
  <si>
    <t>COLOR_RED</t>
  </si>
  <si>
    <t>COLOR_GREEN</t>
  </si>
  <si>
    <t>ReadinessReport</t>
  </si>
  <si>
    <t>Task 4 — on reaching station</t>
  </si>
  <si>
    <t>COLOR_BLUE</t>
  </si>
  <si>
    <t>What its light is doing — this is what tells the boat which side to pass.</t>
  </si>
  <si>
    <t>USVReached Buoy gate</t>
  </si>
  <si>
    <t>COLOR_ANY</t>
  </si>
  <si>
    <t>Any tin is acceptable. Used at Advanced tier.</t>
  </si>
  <si>
    <t>Custom Inter-Vehicle MSG</t>
  </si>
  <si>
    <t>FlightPhase</t>
  </si>
  <si>
    <t>FLIGHT_PHASE_UNKNOWN</t>
  </si>
  <si>
    <t>Never send from Ekko. Surface and underwater vehicles leave it here.</t>
  </si>
  <si>
    <t>RunStart</t>
  </si>
  <si>
    <t>Reached</t>
  </si>
  <si>
    <t>Command body</t>
  </si>
  <si>
    <t>Trigger</t>
  </si>
  <si>
    <t>RoboCommand → OCS → all declared</t>
  </si>
  <si>
    <t>FLIGHT_PHASE_GROUNDED</t>
  </si>
  <si>
    <t>USV --&gt; UAV</t>
  </si>
  <si>
    <t>Once, when the run clock starts</t>
  </si>
  <si>
    <t>UAV/USV</t>
  </si>
  <si>
    <t>On the ground.</t>
  </si>
  <si>
    <t>When the USV reach one set of buoys, USV tells UAV to check the next set of buoys</t>
  </si>
  <si>
    <t>NextBuoySet</t>
  </si>
  <si>
    <t>FLIGHT_PHASE_AIRBORNE</t>
  </si>
  <si>
    <t>[id_1, id_2]
Buoy ID</t>
  </si>
  <si>
    <t>In flight.</t>
  </si>
  <si>
    <t>ID</t>
  </si>
  <si>
    <t>N/A</t>
  </si>
  <si>
    <t>UAV tell USV the next pair of red green buoy ids</t>
  </si>
  <si>
    <t>PipelineSegmentStatus</t>
  </si>
  <si>
    <t>PIPELINE_SEGMENT_UNKNOWN</t>
  </si>
  <si>
    <t>active_buoy_position</t>
  </si>
  <si>
    <t>AssistanceRequest</t>
  </si>
  <si>
    <t>PIPELINE_SEGMENT_INTACT</t>
  </si>
  <si>
    <t>USV --&gt; UUV</t>
  </si>
  <si>
    <t>UUV</t>
  </si>
  <si>
    <t>Green light — functional.</t>
  </si>
  <si>
    <t>RoboCommand → OCS → named type</t>
  </si>
  <si>
    <t>Task 4 — as incidents occur</t>
  </si>
  <si>
    <t>PIPELINE_SEGMENT_DAMAGED</t>
  </si>
  <si>
    <t>Red light — needs repair.</t>
  </si>
  <si>
    <t>RxTask</t>
  </si>
  <si>
    <t>TASK_UNKNOWN</t>
  </si>
  <si>
    <t>Never send. NOT a stand-down signal — it also appears during a mode change.</t>
  </si>
  <si>
    <t>Where the active green buoy is: the pinger end, and the end the segment list is ordered from.</t>
  </si>
  <si>
    <t>TASK_NONE</t>
  </si>
  <si>
    <t>Deliberately idle. This is how a vehicle stands down from a task.</t>
  </si>
  <si>
    <t>segments</t>
  </si>
  <si>
    <t>KeepOutZone</t>
  </si>
  <si>
    <t>UUV --&gt; USV</t>
  </si>
  <si>
    <t>Task 4 — when a hazard appears</t>
  </si>
  <si>
    <t>TASK_SAFE_PASSAGE</t>
  </si>
  <si>
    <t>Task 1.</t>
  </si>
  <si>
    <t>3 choices each</t>
  </si>
  <si>
    <t>Each segment intact or damaged, in order from the active buoy. Order carries the meaning; there is no per-segment position.</t>
  </si>
  <si>
    <t>TASK_INFRA_SURVEY_REPAIR</t>
  </si>
  <si>
    <t>Task 2.</t>
  </si>
  <si>
    <t>AllClear</t>
  </si>
  <si>
    <t>task</t>
  </si>
  <si>
    <t>Task 4 — when a zone is lifted</t>
  </si>
  <si>
    <t>UUV/UAV</t>
  </si>
  <si>
    <t>TASK_COORDINATED_LOGISTICS</t>
  </si>
  <si>
    <t>Task 3.</t>
  </si>
  <si>
    <t>Which task this delivery belongs to.</t>
  </si>
  <si>
    <t>TASK_DYNAMIC_INCIDENT</t>
  </si>
  <si>
    <t>resource_color</t>
  </si>
  <si>
    <t>Task 4.</t>
  </si>
  <si>
    <t>choice (5)</t>
  </si>
  <si>
    <t>VehicleType</t>
  </si>
  <si>
    <t>5 choices</t>
  </si>
  <si>
    <t>TYPE_UNKNOWN</t>
  </si>
  <si>
    <t>Which colour tin is required. 'Any' at Advanced tier, a specific colour at Disruptive.</t>
  </si>
  <si>
    <t>MovingObjectAlert</t>
  </si>
  <si>
    <t>RoboCommand → OCS → affected types</t>
  </si>
  <si>
    <t>delivery_circle_color</t>
  </si>
  <si>
    <t>TYPE_USV</t>
  </si>
  <si>
    <t>Crusader.</t>
  </si>
  <si>
    <t>Which colour circle on the platform it must go to. Field order matches the flash order.</t>
  </si>
  <si>
    <t>TYPE_UUV</t>
  </si>
  <si>
    <t>Graey. Stays UUV even while surfaced — the value is the class of vehicle, not its depth.</t>
  </si>
  <si>
    <t>bay_id</t>
  </si>
  <si>
    <t>whole number</t>
  </si>
  <si>
    <t>USV</t>
  </si>
  <si>
    <t>1 to 3</t>
  </si>
  <si>
    <t>Which bay was docked in.</t>
  </si>
  <si>
    <t>TYPE_UAV</t>
  </si>
  <si>
    <t>Ekko.</t>
  </si>
  <si>
    <t>ReadinessConfirm</t>
  </si>
  <si>
    <t>window_id</t>
  </si>
  <si>
    <t>RoboCommand → OCS → named vehicle</t>
  </si>
  <si>
    <t>Task 4 — answering a readiness report</t>
  </si>
  <si>
    <t>Which window the fire was put out at.</t>
  </si>
  <si>
    <t>command_seq</t>
  </si>
  <si>
    <t>Whichever was targeted</t>
  </si>
  <si>
    <t>Sequence number of the command being acknowledged.</t>
  </si>
  <si>
    <t>Sequence number of the assistance request now reached.</t>
  </si>
  <si>
    <t>Msg OCS &lt;--&gt; RoboCommand</t>
  </si>
  <si>
    <t>RunDeclaration</t>
  </si>
  <si>
    <t>Request body</t>
  </si>
  <si>
    <t>Once, before the run begins</t>
  </si>
  <si>
    <t>declaration_seq</t>
  </si>
  <si>
    <t>—</t>
  </si>
  <si>
    <t>Which run declaration this answers. The OCS must check it matches the one it sent.</t>
  </si>
  <si>
    <t>run_id</t>
  </si>
  <si>
    <t>Identifier assigned to this run.</t>
  </si>
  <si>
    <t>RxCourse</t>
  </si>
  <si>
    <t>Standalone</t>
  </si>
  <si>
    <t>RoboCommand → OCS → (our choice)</t>
  </si>
  <si>
    <t>Once at start-up, held by the broker</t>
  </si>
  <si>
    <t>Named type</t>
  </si>
  <si>
    <t>Where to transit to and loiter.</t>
  </si>
  <si>
    <t>Which class of vehicle is being asked.</t>
  </si>
  <si>
    <t>LatLng</t>
  </si>
  <si>
    <t>Shared type</t>
  </si>
  <si>
    <t>center</t>
  </si>
  <si>
    <t>(inside any position field)</t>
  </si>
  <si>
    <t>Wherever a position appears</t>
  </si>
  <si>
    <t>Centre of the zone.</t>
  </si>
  <si>
    <t>radius_m</t>
  </si>
  <si>
    <t>Radius from that centre.</t>
  </si>
  <si>
    <t>Which class must stay out.</t>
  </si>
  <si>
    <t>Which class may resume normal operations.</t>
  </si>
  <si>
    <t>Affected types</t>
  </si>
  <si>
    <t>Where the moving object is.</t>
  </si>
  <si>
    <t>Which way it is travelling.</t>
  </si>
  <si>
    <t>speed_mps</t>
  </si>
  <si>
    <t>How fast.</t>
  </si>
  <si>
    <t>affected_vehicle_types</t>
  </si>
  <si>
    <t>4 choices each</t>
  </si>
  <si>
    <t>Which classes must stay more than 10 m clear.</t>
  </si>
  <si>
    <t>report_seq</t>
  </si>
  <si>
    <t>Named vehicle</t>
  </si>
  <si>
    <t>Which readiness report is confirmed.</t>
  </si>
  <si>
    <t>vehicle_id</t>
  </si>
  <si>
    <t>text</t>
  </si>
  <si>
    <t>Which vehicle sent it. Needed because report numbering is per-vehicle, so the number alone is ambiguous.</t>
  </si>
  <si>
    <t>vehicle_ids</t>
  </si>
  <si>
    <t>2 minimum</t>
  </si>
  <si>
    <t>Every vehicle taking part. Handbook 3.1 requires at least two for the Communications Proof of Readiness.</t>
  </si>
  <si>
    <t>task1_tier</t>
  </si>
  <si>
    <t>Tier attempted for Safe Passage.</t>
  </si>
  <si>
    <t>task2_tier</t>
  </si>
  <si>
    <t>Tier attempted for Infrastructure Survey and Repair.</t>
  </si>
  <si>
    <t>task3_tier</t>
  </si>
  <si>
    <t>Tier attempted for Coordinated Logistics.</t>
  </si>
  <si>
    <t>task4_tier</t>
  </si>
  <si>
    <t>Tier attempted for Dynamic Incident Response.</t>
  </si>
  <si>
    <t>uav_geofence</t>
  </si>
  <si>
    <t>UAV</t>
  </si>
  <si>
    <t>closed polygon</t>
  </si>
  <si>
    <t>Corners of Ekko's geofence. First and last points must be identical. Validated against the course boundary before the run starts.</t>
  </si>
  <si>
    <t>course_id</t>
  </si>
  <si>
    <t>Which course configuration, e.g. ALPHA.</t>
  </si>
  <si>
    <t>pinger_freq_hz</t>
  </si>
  <si>
    <t>UUV uses it</t>
  </si>
  <si>
    <t>hertz</t>
  </si>
  <si>
    <t>Acoustic pinger frequency — what Graey homes on.</t>
  </si>
  <si>
    <t>corners</t>
  </si>
  <si>
    <t>Ordered vertices of the course boundary. First and last points identical.</t>
  </si>
  <si>
    <t>sent_at</t>
  </si>
  <si>
    <t>timestamp</t>
  </si>
  <si>
    <t>When the configuration was published.</t>
  </si>
  <si>
    <t>latitude</t>
  </si>
  <si>
    <t>-90 to +90</t>
  </si>
  <si>
    <t>Decimal degrees.</t>
  </si>
  <si>
    <t>longitude</t>
  </si>
  <si>
    <t>-180 to +180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</si>
</sst>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Consolas"/>
    </font>
    <font>
      <sz val="10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3A44"/>
        <bgColor rgb="FF1F3A44"/>
      </patternFill>
    </fill>
    <fill>
      <patternFill patternType="solid">
        <fgColor rgb="FFF4CCCC"/>
        <bgColor rgb="FFF4CCCC"/>
      </patternFill>
    </fill>
    <fill>
      <patternFill patternType="solid">
        <fgColor rgb="FFEEF3F5"/>
        <bgColor rgb="FFEEF3F5"/>
      </patternFill>
    </fill>
    <fill>
      <patternFill patternType="solid">
        <fgColor rgb="FFFFF6CC"/>
        <bgColor rgb="FFFFF6CC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9C9CF"/>
      </left>
      <right style="thin">
        <color rgb="FFB9C9CF"/>
      </right>
      <top style="thin">
        <color rgb="FFB9C9CF"/>
      </top>
      <bottom style="thin">
        <color rgb="FFB9C9C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3" fontId="4" numFmtId="0" xfId="0" applyFill="1" applyFont="1"/>
    <xf borderId="1" fillId="4" fontId="2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4" fontId="3" numFmtId="0" xfId="0" applyAlignment="1" applyBorder="1" applyFill="1" applyFont="1">
      <alignment readingOrder="0" shrinkToFit="0" vertical="top" wrapText="1"/>
    </xf>
    <xf borderId="1" fillId="4" fontId="2" numFmtId="0" xfId="0" applyAlignment="1" applyBorder="1" applyFill="1" applyFont="1">
      <alignment readingOrder="0" shrinkToFit="0" vertical="top" wrapText="1"/>
    </xf>
    <xf borderId="1" fillId="6" fontId="3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6.0"/>
    <col customWidth="1" min="3" max="3" width="38.0"/>
    <col customWidth="1" min="4" max="4" width="40.0"/>
    <col customWidth="1" min="5" max="5" width="8.0"/>
    <col customWidth="1" min="6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8</v>
      </c>
      <c r="B2" s="4" t="s">
        <v>10</v>
      </c>
      <c r="C2" s="4" t="s">
        <v>13</v>
      </c>
      <c r="D2" s="4" t="s">
        <v>14</v>
      </c>
      <c r="E2" s="4">
        <f>COUNTIF(Fields!$A:$A,$A2)</f>
        <v>0</v>
      </c>
    </row>
    <row r="3">
      <c r="A3" s="9" t="s">
        <v>24</v>
      </c>
      <c r="B3" s="10" t="s">
        <v>10</v>
      </c>
      <c r="C3" s="10" t="s">
        <v>32</v>
      </c>
      <c r="D3" s="10" t="s">
        <v>33</v>
      </c>
      <c r="E3" s="10">
        <f>COUNTIF(Fields!$A:$A,$A3)</f>
        <v>0</v>
      </c>
    </row>
    <row r="4">
      <c r="A4" s="2" t="s">
        <v>37</v>
      </c>
      <c r="B4" s="4" t="s">
        <v>10</v>
      </c>
      <c r="C4" s="4" t="s">
        <v>38</v>
      </c>
      <c r="D4" s="4" t="s">
        <v>39</v>
      </c>
      <c r="E4" s="4">
        <f>COUNTIF(Fields!$A:$A,$A4)</f>
        <v>0</v>
      </c>
    </row>
    <row r="5">
      <c r="A5" s="9" t="s">
        <v>26</v>
      </c>
      <c r="B5" s="10" t="s">
        <v>29</v>
      </c>
      <c r="C5" s="10" t="s">
        <v>45</v>
      </c>
      <c r="D5" s="10" t="s">
        <v>47</v>
      </c>
      <c r="E5" s="10">
        <f>COUNTIF(Fields!$A:$A,$A5)</f>
        <v>11</v>
      </c>
    </row>
    <row r="6">
      <c r="A6" s="2" t="s">
        <v>53</v>
      </c>
      <c r="B6" s="4" t="s">
        <v>29</v>
      </c>
      <c r="C6" s="4" t="s">
        <v>57</v>
      </c>
      <c r="D6" s="4" t="s">
        <v>60</v>
      </c>
      <c r="E6" s="4">
        <f>COUNTIF(Fields!$A:$A,$A6)</f>
        <v>3</v>
      </c>
    </row>
    <row r="7">
      <c r="A7" s="9" t="s">
        <v>68</v>
      </c>
      <c r="B7" s="10" t="s">
        <v>72</v>
      </c>
      <c r="C7" s="10" t="s">
        <v>74</v>
      </c>
      <c r="D7" s="10" t="s">
        <v>75</v>
      </c>
      <c r="E7" s="10">
        <f>COUNTIF(Fields!$A:$A,$A7)</f>
        <v>2</v>
      </c>
    </row>
    <row r="8">
      <c r="A8" s="2" t="s">
        <v>86</v>
      </c>
      <c r="B8" s="4" t="s">
        <v>29</v>
      </c>
      <c r="C8" s="4" t="s">
        <v>88</v>
      </c>
      <c r="D8" s="4" t="s">
        <v>89</v>
      </c>
      <c r="E8" s="4">
        <f>COUNTIF(Fields!$A:$A,$A8)</f>
        <v>2</v>
      </c>
    </row>
    <row r="9">
      <c r="A9" s="9" t="s">
        <v>97</v>
      </c>
      <c r="B9" s="10" t="s">
        <v>29</v>
      </c>
      <c r="C9" s="10" t="s">
        <v>99</v>
      </c>
      <c r="D9" s="10" t="s">
        <v>101</v>
      </c>
      <c r="E9" s="10">
        <f>COUNTIF(Fields!$A:$A,$A9)</f>
        <v>3</v>
      </c>
    </row>
    <row r="10">
      <c r="A10" s="2" t="s">
        <v>109</v>
      </c>
      <c r="B10" s="4" t="s">
        <v>29</v>
      </c>
      <c r="C10" s="4" t="s">
        <v>110</v>
      </c>
      <c r="D10" s="4" t="s">
        <v>111</v>
      </c>
      <c r="E10" s="4">
        <f>COUNTIF(Fields!$A:$A,$A10)</f>
        <v>1</v>
      </c>
    </row>
    <row r="11">
      <c r="A11" s="9" t="s">
        <v>120</v>
      </c>
      <c r="B11" s="10" t="s">
        <v>29</v>
      </c>
      <c r="C11" s="10" t="s">
        <v>110</v>
      </c>
      <c r="D11" s="10" t="s">
        <v>123</v>
      </c>
      <c r="E11" s="10">
        <f>COUNTIF(Fields!$A:$A,$A11)</f>
        <v>1</v>
      </c>
    </row>
    <row r="12">
      <c r="A12" s="2" t="s">
        <v>132</v>
      </c>
      <c r="B12" s="4" t="s">
        <v>29</v>
      </c>
      <c r="C12" s="4" t="s">
        <v>134</v>
      </c>
      <c r="D12" s="4" t="s">
        <v>136</v>
      </c>
      <c r="E12" s="4">
        <f>COUNTIF(Fields!$A:$A,$A12)</f>
        <v>1</v>
      </c>
    </row>
    <row r="13">
      <c r="A13" s="9" t="s">
        <v>140</v>
      </c>
      <c r="B13" s="10" t="s">
        <v>29</v>
      </c>
      <c r="C13" s="10" t="s">
        <v>134</v>
      </c>
      <c r="D13" s="10" t="s">
        <v>141</v>
      </c>
      <c r="E13" s="10">
        <f>COUNTIF(Fields!$A:$A,$A13)</f>
        <v>1</v>
      </c>
    </row>
    <row r="14">
      <c r="A14" s="2" t="s">
        <v>151</v>
      </c>
      <c r="B14" s="4" t="s">
        <v>153</v>
      </c>
      <c r="C14" s="4" t="s">
        <v>155</v>
      </c>
      <c r="D14" s="4" t="s">
        <v>158</v>
      </c>
      <c r="E14" s="4">
        <f>COUNTIF(Fields!$A:$A,$A14)</f>
        <v>2</v>
      </c>
    </row>
    <row r="15">
      <c r="A15" s="9" t="s">
        <v>172</v>
      </c>
      <c r="B15" s="10" t="s">
        <v>153</v>
      </c>
      <c r="C15" s="10" t="s">
        <v>177</v>
      </c>
      <c r="D15" s="10" t="s">
        <v>178</v>
      </c>
      <c r="E15" s="10">
        <f>COUNTIF(Fields!$A:$A,$A15)</f>
        <v>2</v>
      </c>
    </row>
    <row r="16">
      <c r="A16" s="2" t="s">
        <v>188</v>
      </c>
      <c r="B16" s="4" t="s">
        <v>153</v>
      </c>
      <c r="C16" s="4" t="s">
        <v>177</v>
      </c>
      <c r="D16" s="4" t="s">
        <v>190</v>
      </c>
      <c r="E16" s="4">
        <f>COUNTIF(Fields!$A:$A,$A16)</f>
        <v>3</v>
      </c>
    </row>
    <row r="17">
      <c r="A17" s="9" t="s">
        <v>197</v>
      </c>
      <c r="B17" s="10" t="s">
        <v>153</v>
      </c>
      <c r="C17" s="10" t="s">
        <v>177</v>
      </c>
      <c r="D17" s="10" t="s">
        <v>199</v>
      </c>
      <c r="E17" s="10">
        <f>COUNTIF(Fields!$A:$A,$A17)</f>
        <v>1</v>
      </c>
    </row>
    <row r="18">
      <c r="A18" s="2" t="s">
        <v>212</v>
      </c>
      <c r="B18" s="4" t="s">
        <v>153</v>
      </c>
      <c r="C18" s="4" t="s">
        <v>213</v>
      </c>
      <c r="D18" s="4" t="s">
        <v>178</v>
      </c>
      <c r="E18" s="4">
        <f>COUNTIF(Fields!$A:$A,$A18)</f>
        <v>4</v>
      </c>
    </row>
    <row r="19">
      <c r="A19" s="9" t="s">
        <v>227</v>
      </c>
      <c r="B19" s="10" t="s">
        <v>153</v>
      </c>
      <c r="C19" s="10" t="s">
        <v>229</v>
      </c>
      <c r="D19" s="10" t="s">
        <v>230</v>
      </c>
      <c r="E19" s="10">
        <f>COUNTIF(Fields!$A:$A,$A19)</f>
        <v>2</v>
      </c>
    </row>
    <row r="20">
      <c r="A20" s="2" t="s">
        <v>237</v>
      </c>
      <c r="B20" s="4" t="s">
        <v>238</v>
      </c>
      <c r="C20" s="4" t="s">
        <v>38</v>
      </c>
      <c r="D20" s="4" t="s">
        <v>239</v>
      </c>
      <c r="E20" s="4">
        <f>COUNTIF(Fields!$A:$A,$A20)</f>
        <v>6</v>
      </c>
    </row>
    <row r="21" ht="15.75" customHeight="1">
      <c r="A21" s="9" t="s">
        <v>245</v>
      </c>
      <c r="B21" s="10" t="s">
        <v>246</v>
      </c>
      <c r="C21" s="10" t="s">
        <v>247</v>
      </c>
      <c r="D21" s="10" t="s">
        <v>248</v>
      </c>
      <c r="E21" s="10">
        <f>COUNTIF(Fields!$A:$A,$A21)</f>
        <v>4</v>
      </c>
    </row>
    <row r="22" ht="15.75" customHeight="1">
      <c r="A22" s="2" t="s">
        <v>252</v>
      </c>
      <c r="B22" s="4" t="s">
        <v>253</v>
      </c>
      <c r="C22" s="4" t="s">
        <v>255</v>
      </c>
      <c r="D22" s="4" t="s">
        <v>256</v>
      </c>
      <c r="E22" s="4">
        <f>COUNTIF(Fields!$A:$A,$A22)</f>
        <v>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2"/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6.0"/>
    <col customWidth="1" min="2" max="2" width="15.0"/>
    <col customWidth="1" min="3" max="3" width="24.0"/>
    <col customWidth="1" min="4" max="4" width="14.0"/>
    <col customWidth="1" min="5" max="5" width="10.0"/>
    <col customWidth="1" min="6" max="6" width="25.14"/>
    <col customWidth="1" min="7" max="8" width="20.0"/>
    <col customWidth="1" min="9" max="9" width="62.0"/>
    <col customWidth="1" min="10" max="10" width="22.0"/>
    <col customWidth="1" min="11" max="11" width="12.0"/>
    <col customWidth="1" min="12" max="27" width="8.71"/>
  </cols>
  <sheetData>
    <row r="1" ht="27.75" customHeight="1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3" t="s">
        <v>9</v>
      </c>
      <c r="G1" s="1" t="s">
        <v>11</v>
      </c>
      <c r="H1" s="1" t="s">
        <v>12</v>
      </c>
      <c r="I1" s="1" t="s">
        <v>15</v>
      </c>
      <c r="J1" s="1" t="s">
        <v>16</v>
      </c>
      <c r="K1" s="1" t="s">
        <v>17</v>
      </c>
    </row>
    <row r="2">
      <c r="A2" s="5" t="s">
        <v>18</v>
      </c>
      <c r="B2" s="6"/>
      <c r="C2" s="7"/>
      <c r="D2" s="6"/>
      <c r="E2" s="6"/>
      <c r="F2" s="6"/>
      <c r="G2" s="6"/>
      <c r="H2" s="6"/>
      <c r="I2" s="6"/>
      <c r="J2" s="6"/>
      <c r="K2" s="6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2" t="s">
        <v>26</v>
      </c>
      <c r="B3" s="4" t="s">
        <v>29</v>
      </c>
      <c r="C3" s="2" t="s">
        <v>30</v>
      </c>
      <c r="D3" s="4" t="s">
        <v>31</v>
      </c>
      <c r="E3" s="4"/>
      <c r="F3" s="4"/>
      <c r="G3" s="4" t="s">
        <v>34</v>
      </c>
      <c r="H3" s="4" t="s">
        <v>35</v>
      </c>
      <c r="I3" s="4" t="s">
        <v>36</v>
      </c>
      <c r="J3" s="11"/>
      <c r="K3" s="11"/>
    </row>
    <row r="4">
      <c r="A4" s="9" t="s">
        <v>26</v>
      </c>
      <c r="B4" s="10" t="s">
        <v>29</v>
      </c>
      <c r="C4" s="9" t="s">
        <v>40</v>
      </c>
      <c r="D4" s="10" t="s">
        <v>40</v>
      </c>
      <c r="E4" s="10"/>
      <c r="F4" s="10"/>
      <c r="G4" s="10" t="s">
        <v>34</v>
      </c>
      <c r="H4" s="10"/>
      <c r="I4" s="10" t="s">
        <v>41</v>
      </c>
      <c r="J4" s="10"/>
      <c r="K4" s="10"/>
    </row>
    <row r="5">
      <c r="A5" s="2" t="s">
        <v>26</v>
      </c>
      <c r="B5" s="4" t="s">
        <v>29</v>
      </c>
      <c r="C5" s="2" t="s">
        <v>42</v>
      </c>
      <c r="D5" s="4" t="s">
        <v>43</v>
      </c>
      <c r="E5" s="4"/>
      <c r="F5" s="4"/>
      <c r="G5" s="4" t="s">
        <v>34</v>
      </c>
      <c r="H5" s="4" t="s">
        <v>44</v>
      </c>
      <c r="I5" s="4" t="s">
        <v>46</v>
      </c>
      <c r="J5" s="11"/>
      <c r="K5" s="11"/>
    </row>
    <row r="6">
      <c r="A6" s="9" t="s">
        <v>26</v>
      </c>
      <c r="B6" s="10" t="s">
        <v>29</v>
      </c>
      <c r="C6" s="9" t="s">
        <v>49</v>
      </c>
      <c r="D6" s="10" t="s">
        <v>43</v>
      </c>
      <c r="E6" s="10"/>
      <c r="F6" s="10"/>
      <c r="G6" s="10" t="s">
        <v>34</v>
      </c>
      <c r="H6" s="10" t="s">
        <v>51</v>
      </c>
      <c r="I6" s="10" t="s">
        <v>52</v>
      </c>
      <c r="J6" s="10"/>
      <c r="K6" s="10"/>
    </row>
    <row r="7">
      <c r="A7" s="2" t="s">
        <v>26</v>
      </c>
      <c r="B7" s="4" t="s">
        <v>29</v>
      </c>
      <c r="C7" s="2" t="s">
        <v>54</v>
      </c>
      <c r="D7" s="4" t="s">
        <v>43</v>
      </c>
      <c r="E7" s="4"/>
      <c r="F7" s="4"/>
      <c r="G7" s="4" t="s">
        <v>34</v>
      </c>
      <c r="H7" s="4" t="s">
        <v>58</v>
      </c>
      <c r="I7" s="4" t="s">
        <v>59</v>
      </c>
      <c r="J7" s="11"/>
      <c r="K7" s="11"/>
    </row>
    <row r="8" ht="15.75" customHeight="1">
      <c r="A8" s="9" t="s">
        <v>26</v>
      </c>
      <c r="B8" s="10" t="s">
        <v>29</v>
      </c>
      <c r="C8" s="9" t="s">
        <v>61</v>
      </c>
      <c r="D8" s="10" t="s">
        <v>43</v>
      </c>
      <c r="E8" s="10"/>
      <c r="F8" s="10"/>
      <c r="G8" s="10" t="s">
        <v>34</v>
      </c>
      <c r="H8" s="10" t="s">
        <v>58</v>
      </c>
      <c r="I8" s="10" t="s">
        <v>64</v>
      </c>
      <c r="J8" s="10"/>
      <c r="K8" s="10"/>
    </row>
    <row r="9" ht="15.75" customHeight="1">
      <c r="A9" s="2" t="s">
        <v>26</v>
      </c>
      <c r="B9" s="4" t="s">
        <v>29</v>
      </c>
      <c r="C9" s="2" t="s">
        <v>66</v>
      </c>
      <c r="D9" s="4" t="s">
        <v>43</v>
      </c>
      <c r="E9" s="4"/>
      <c r="F9" s="4"/>
      <c r="G9" s="4" t="s">
        <v>69</v>
      </c>
      <c r="H9" s="4" t="s">
        <v>71</v>
      </c>
      <c r="I9" s="4" t="s">
        <v>73</v>
      </c>
      <c r="J9" s="11"/>
      <c r="K9" s="11"/>
    </row>
    <row r="10" ht="15.75" customHeight="1">
      <c r="A10" s="9" t="s">
        <v>26</v>
      </c>
      <c r="B10" s="10" t="s">
        <v>29</v>
      </c>
      <c r="C10" s="9" t="s">
        <v>76</v>
      </c>
      <c r="D10" s="10" t="s">
        <v>43</v>
      </c>
      <c r="E10" s="10"/>
      <c r="F10" s="10"/>
      <c r="G10" s="10" t="s">
        <v>78</v>
      </c>
      <c r="H10" s="10" t="s">
        <v>71</v>
      </c>
      <c r="I10" s="10" t="s">
        <v>80</v>
      </c>
      <c r="J10" s="10"/>
      <c r="K10" s="10"/>
    </row>
    <row r="11" ht="15.75" customHeight="1">
      <c r="A11" s="2" t="s">
        <v>26</v>
      </c>
      <c r="B11" s="4" t="s">
        <v>29</v>
      </c>
      <c r="C11" s="2" t="s">
        <v>81</v>
      </c>
      <c r="D11" s="4" t="s">
        <v>82</v>
      </c>
      <c r="E11" s="4"/>
      <c r="F11" s="4"/>
      <c r="G11" s="4" t="s">
        <v>34</v>
      </c>
      <c r="H11" s="4" t="s">
        <v>85</v>
      </c>
      <c r="I11" s="4" t="s">
        <v>87</v>
      </c>
      <c r="J11" s="11"/>
      <c r="K11" s="11"/>
    </row>
    <row r="12" ht="15.75" customHeight="1">
      <c r="A12" s="9" t="s">
        <v>26</v>
      </c>
      <c r="B12" s="10" t="s">
        <v>29</v>
      </c>
      <c r="C12" s="9" t="s">
        <v>90</v>
      </c>
      <c r="D12" s="10" t="s">
        <v>31</v>
      </c>
      <c r="E12" s="10"/>
      <c r="F12" s="10"/>
      <c r="G12" s="10" t="s">
        <v>34</v>
      </c>
      <c r="H12" s="10" t="s">
        <v>35</v>
      </c>
      <c r="I12" s="10" t="s">
        <v>93</v>
      </c>
      <c r="J12" s="10"/>
      <c r="K12" s="10"/>
    </row>
    <row r="13" ht="15.75" customHeight="1">
      <c r="A13" s="2" t="s">
        <v>26</v>
      </c>
      <c r="B13" s="4" t="s">
        <v>29</v>
      </c>
      <c r="C13" s="2" t="s">
        <v>95</v>
      </c>
      <c r="D13" s="4" t="s">
        <v>98</v>
      </c>
      <c r="E13" s="4"/>
      <c r="F13" s="4"/>
      <c r="G13" s="4" t="s">
        <v>100</v>
      </c>
      <c r="H13" s="4" t="s">
        <v>102</v>
      </c>
      <c r="I13" s="4" t="s">
        <v>104</v>
      </c>
      <c r="J13" s="11"/>
      <c r="K13" s="11"/>
    </row>
    <row r="14" ht="15.75" customHeight="1">
      <c r="A14" s="5" t="s">
        <v>106</v>
      </c>
      <c r="B14" s="6"/>
      <c r="C14" s="7"/>
      <c r="D14" s="6"/>
      <c r="E14" s="6"/>
      <c r="F14" s="6"/>
      <c r="G14" s="6"/>
      <c r="H14" s="6"/>
      <c r="I14" s="6"/>
      <c r="J14" s="6"/>
      <c r="K14" s="6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9" t="s">
        <v>53</v>
      </c>
      <c r="B15" s="10" t="s">
        <v>29</v>
      </c>
      <c r="C15" s="9" t="s">
        <v>114</v>
      </c>
      <c r="D15" s="10" t="s">
        <v>40</v>
      </c>
      <c r="E15" s="10"/>
      <c r="F15" s="10"/>
      <c r="G15" s="10" t="s">
        <v>115</v>
      </c>
      <c r="H15" s="10"/>
      <c r="I15" s="10" t="s">
        <v>116</v>
      </c>
      <c r="J15" s="10"/>
      <c r="K15" s="10"/>
    </row>
    <row r="16" ht="15.75" customHeight="1">
      <c r="A16" s="2" t="s">
        <v>53</v>
      </c>
      <c r="B16" s="4" t="s">
        <v>29</v>
      </c>
      <c r="C16" s="2" t="s">
        <v>119</v>
      </c>
      <c r="D16" s="4" t="s">
        <v>40</v>
      </c>
      <c r="E16" s="4"/>
      <c r="F16" s="4"/>
      <c r="G16" s="4" t="s">
        <v>115</v>
      </c>
      <c r="H16" s="4"/>
      <c r="I16" s="4" t="s">
        <v>122</v>
      </c>
      <c r="J16" s="11"/>
      <c r="K16" s="11"/>
    </row>
    <row r="17" ht="15.75" customHeight="1">
      <c r="A17" s="9" t="s">
        <v>53</v>
      </c>
      <c r="B17" s="10" t="s">
        <v>29</v>
      </c>
      <c r="C17" s="9" t="s">
        <v>125</v>
      </c>
      <c r="D17" s="10" t="s">
        <v>68</v>
      </c>
      <c r="E17" s="10" t="s">
        <v>126</v>
      </c>
      <c r="F17" s="10"/>
      <c r="G17" s="10" t="s">
        <v>115</v>
      </c>
      <c r="H17" s="10" t="s">
        <v>129</v>
      </c>
      <c r="I17" s="10" t="s">
        <v>130</v>
      </c>
      <c r="J17" s="10"/>
      <c r="K17" s="10"/>
    </row>
    <row r="18" ht="15.75" customHeight="1">
      <c r="A18" s="2" t="s">
        <v>68</v>
      </c>
      <c r="B18" s="4" t="s">
        <v>72</v>
      </c>
      <c r="C18" s="2" t="s">
        <v>40</v>
      </c>
      <c r="D18" s="4" t="s">
        <v>40</v>
      </c>
      <c r="E18" s="4"/>
      <c r="F18" s="12" t="s">
        <v>135</v>
      </c>
      <c r="G18" s="4" t="s">
        <v>115</v>
      </c>
      <c r="H18" s="4"/>
      <c r="I18" s="4" t="s">
        <v>137</v>
      </c>
      <c r="J18" s="11"/>
      <c r="K18" s="11"/>
    </row>
    <row r="19" ht="15.75" customHeight="1">
      <c r="A19" s="9" t="s">
        <v>68</v>
      </c>
      <c r="B19" s="10" t="s">
        <v>72</v>
      </c>
      <c r="C19" s="9" t="s">
        <v>30</v>
      </c>
      <c r="D19" s="10" t="s">
        <v>82</v>
      </c>
      <c r="E19" s="10"/>
      <c r="F19" s="13" t="s">
        <v>135</v>
      </c>
      <c r="G19" s="10" t="s">
        <v>115</v>
      </c>
      <c r="H19" s="10" t="s">
        <v>85</v>
      </c>
      <c r="I19" s="10" t="s">
        <v>143</v>
      </c>
      <c r="J19" s="10"/>
      <c r="K19" s="10"/>
    </row>
    <row r="20" ht="15.75" customHeight="1">
      <c r="A20" s="14" t="s">
        <v>144</v>
      </c>
      <c r="B20" s="15" t="s">
        <v>147</v>
      </c>
      <c r="C20" s="14" t="s">
        <v>152</v>
      </c>
      <c r="D20" s="13" t="s">
        <v>154</v>
      </c>
      <c r="E20" s="13" t="s">
        <v>126</v>
      </c>
      <c r="F20" s="13" t="s">
        <v>157</v>
      </c>
      <c r="G20" s="13" t="s">
        <v>159</v>
      </c>
      <c r="H20" s="13" t="s">
        <v>154</v>
      </c>
      <c r="I20" s="13" t="s">
        <v>161</v>
      </c>
      <c r="J20" s="10"/>
      <c r="K20" s="10"/>
    </row>
    <row r="21" ht="15.75" customHeight="1">
      <c r="A21" s="14" t="s">
        <v>162</v>
      </c>
      <c r="B21" s="15" t="s">
        <v>147</v>
      </c>
      <c r="C21" s="14" t="s">
        <v>164</v>
      </c>
      <c r="D21" s="13" t="s">
        <v>166</v>
      </c>
      <c r="E21" s="13" t="s">
        <v>126</v>
      </c>
      <c r="F21" s="13" t="s">
        <v>135</v>
      </c>
      <c r="G21" s="13" t="s">
        <v>159</v>
      </c>
      <c r="H21" s="13" t="s">
        <v>167</v>
      </c>
      <c r="I21" s="13" t="s">
        <v>168</v>
      </c>
      <c r="J21" s="10"/>
      <c r="K21" s="10"/>
    </row>
    <row r="22" ht="15.75" customHeight="1">
      <c r="A22" s="2" t="s">
        <v>86</v>
      </c>
      <c r="B22" s="4" t="s">
        <v>29</v>
      </c>
      <c r="C22" s="2" t="s">
        <v>171</v>
      </c>
      <c r="D22" s="4" t="s">
        <v>40</v>
      </c>
      <c r="E22" s="4"/>
      <c r="F22" s="12" t="s">
        <v>174</v>
      </c>
      <c r="G22" s="4" t="s">
        <v>175</v>
      </c>
      <c r="H22" s="4"/>
      <c r="I22" s="4" t="s">
        <v>184</v>
      </c>
      <c r="J22" s="11"/>
      <c r="K22" s="11"/>
    </row>
    <row r="23" ht="15.75" customHeight="1">
      <c r="A23" s="9" t="s">
        <v>86</v>
      </c>
      <c r="B23" s="10" t="s">
        <v>29</v>
      </c>
      <c r="C23" s="9" t="s">
        <v>187</v>
      </c>
      <c r="D23" s="10" t="s">
        <v>98</v>
      </c>
      <c r="E23" s="10" t="s">
        <v>126</v>
      </c>
      <c r="F23" s="13" t="s">
        <v>189</v>
      </c>
      <c r="G23" s="10" t="s">
        <v>175</v>
      </c>
      <c r="H23" s="10" t="s">
        <v>193</v>
      </c>
      <c r="I23" s="10" t="s">
        <v>194</v>
      </c>
      <c r="J23" s="10"/>
      <c r="K23" s="10"/>
    </row>
    <row r="24" ht="15.75" customHeight="1">
      <c r="A24" s="2" t="s">
        <v>97</v>
      </c>
      <c r="B24" s="4" t="s">
        <v>29</v>
      </c>
      <c r="C24" s="2" t="s">
        <v>198</v>
      </c>
      <c r="D24" s="4" t="s">
        <v>82</v>
      </c>
      <c r="E24" s="4"/>
      <c r="F24" s="12"/>
      <c r="G24" s="4" t="s">
        <v>200</v>
      </c>
      <c r="H24" s="4" t="s">
        <v>85</v>
      </c>
      <c r="I24" s="4" t="s">
        <v>203</v>
      </c>
      <c r="J24" s="11"/>
      <c r="K24" s="11"/>
    </row>
    <row r="25" ht="15.75" customHeight="1">
      <c r="A25" s="9" t="s">
        <v>97</v>
      </c>
      <c r="B25" s="10" t="s">
        <v>29</v>
      </c>
      <c r="C25" s="9" t="s">
        <v>205</v>
      </c>
      <c r="D25" s="10" t="s">
        <v>207</v>
      </c>
      <c r="E25" s="10"/>
      <c r="F25" s="13" t="s">
        <v>157</v>
      </c>
      <c r="G25" s="10" t="s">
        <v>200</v>
      </c>
      <c r="H25" s="10" t="s">
        <v>209</v>
      </c>
      <c r="I25" s="10" t="s">
        <v>211</v>
      </c>
      <c r="J25" s="10"/>
      <c r="K25" s="10"/>
    </row>
    <row r="26" ht="15.75" customHeight="1">
      <c r="A26" s="2" t="s">
        <v>97</v>
      </c>
      <c r="B26" s="4" t="s">
        <v>29</v>
      </c>
      <c r="C26" s="2" t="s">
        <v>214</v>
      </c>
      <c r="D26" s="4" t="s">
        <v>207</v>
      </c>
      <c r="E26" s="4"/>
      <c r="F26" s="12" t="s">
        <v>157</v>
      </c>
      <c r="G26" s="4" t="s">
        <v>200</v>
      </c>
      <c r="H26" s="4" t="s">
        <v>209</v>
      </c>
      <c r="I26" s="4" t="s">
        <v>217</v>
      </c>
      <c r="J26" s="11"/>
      <c r="K26" s="11"/>
    </row>
    <row r="27" ht="15.75" customHeight="1">
      <c r="A27" s="9" t="s">
        <v>109</v>
      </c>
      <c r="B27" s="10" t="s">
        <v>29</v>
      </c>
      <c r="C27" s="9" t="s">
        <v>220</v>
      </c>
      <c r="D27" s="10" t="s">
        <v>221</v>
      </c>
      <c r="E27" s="10"/>
      <c r="F27" s="10"/>
      <c r="G27" s="10" t="s">
        <v>222</v>
      </c>
      <c r="H27" s="10" t="s">
        <v>223</v>
      </c>
      <c r="I27" s="10" t="s">
        <v>224</v>
      </c>
      <c r="J27" s="10"/>
      <c r="K27" s="10"/>
    </row>
    <row r="28" ht="15.75" customHeight="1">
      <c r="A28" s="2" t="s">
        <v>120</v>
      </c>
      <c r="B28" s="4" t="s">
        <v>29</v>
      </c>
      <c r="C28" s="2" t="s">
        <v>228</v>
      </c>
      <c r="D28" s="4" t="s">
        <v>221</v>
      </c>
      <c r="E28" s="4"/>
      <c r="F28" s="4"/>
      <c r="G28" s="4" t="s">
        <v>222</v>
      </c>
      <c r="H28" s="4"/>
      <c r="I28" s="4" t="s">
        <v>231</v>
      </c>
      <c r="J28" s="11"/>
      <c r="K28" s="11"/>
    </row>
    <row r="29" ht="15.75" customHeight="1">
      <c r="A29" s="9" t="s">
        <v>132</v>
      </c>
      <c r="B29" s="10" t="s">
        <v>29</v>
      </c>
      <c r="C29" s="9" t="s">
        <v>232</v>
      </c>
      <c r="D29" s="10" t="s">
        <v>221</v>
      </c>
      <c r="E29" s="10"/>
      <c r="F29" s="10"/>
      <c r="G29" s="10" t="s">
        <v>233</v>
      </c>
      <c r="H29" s="10"/>
      <c r="I29" s="10" t="s">
        <v>234</v>
      </c>
      <c r="J29" s="10"/>
      <c r="K29" s="10"/>
    </row>
    <row r="30" ht="15.75" customHeight="1">
      <c r="A30" s="2" t="s">
        <v>140</v>
      </c>
      <c r="B30" s="4" t="s">
        <v>29</v>
      </c>
      <c r="C30" s="2" t="s">
        <v>232</v>
      </c>
      <c r="D30" s="4" t="s">
        <v>221</v>
      </c>
      <c r="E30" s="4"/>
      <c r="F30" s="4"/>
      <c r="G30" s="4" t="s">
        <v>233</v>
      </c>
      <c r="H30" s="4"/>
      <c r="I30" s="4" t="s">
        <v>235</v>
      </c>
      <c r="J30" s="11"/>
      <c r="K30" s="11"/>
    </row>
    <row r="31" ht="15.75" customHeight="1">
      <c r="A31" s="5" t="s">
        <v>236</v>
      </c>
      <c r="B31" s="6"/>
      <c r="C31" s="7"/>
      <c r="D31" s="6"/>
      <c r="E31" s="6"/>
      <c r="F31" s="6"/>
      <c r="G31" s="6"/>
      <c r="H31" s="6"/>
      <c r="I31" s="6"/>
      <c r="J31" s="6"/>
      <c r="K31" s="6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9" t="s">
        <v>151</v>
      </c>
      <c r="B32" s="10" t="s">
        <v>153</v>
      </c>
      <c r="C32" s="9" t="s">
        <v>240</v>
      </c>
      <c r="D32" s="10" t="s">
        <v>221</v>
      </c>
      <c r="E32" s="10"/>
      <c r="F32" s="10"/>
      <c r="G32" s="10" t="s">
        <v>241</v>
      </c>
      <c r="H32" s="10"/>
      <c r="I32" s="10" t="s">
        <v>242</v>
      </c>
      <c r="J32" s="10"/>
      <c r="K32" s="10"/>
    </row>
    <row r="33" ht="15.75" customHeight="1">
      <c r="A33" s="2" t="s">
        <v>151</v>
      </c>
      <c r="B33" s="4" t="s">
        <v>153</v>
      </c>
      <c r="C33" s="2" t="s">
        <v>243</v>
      </c>
      <c r="D33" s="4" t="s">
        <v>221</v>
      </c>
      <c r="E33" s="4"/>
      <c r="F33" s="4"/>
      <c r="G33" s="4" t="s">
        <v>241</v>
      </c>
      <c r="H33" s="4"/>
      <c r="I33" s="4" t="s">
        <v>244</v>
      </c>
      <c r="J33" s="11"/>
      <c r="K33" s="11"/>
    </row>
    <row r="34" ht="15.75" customHeight="1">
      <c r="A34" s="9" t="s">
        <v>172</v>
      </c>
      <c r="B34" s="10" t="s">
        <v>153</v>
      </c>
      <c r="C34" s="9" t="s">
        <v>40</v>
      </c>
      <c r="D34" s="10" t="s">
        <v>40</v>
      </c>
      <c r="E34" s="10"/>
      <c r="F34" s="10"/>
      <c r="G34" s="10" t="s">
        <v>249</v>
      </c>
      <c r="H34" s="10"/>
      <c r="I34" s="10" t="s">
        <v>250</v>
      </c>
      <c r="J34" s="10"/>
      <c r="K34" s="10"/>
    </row>
    <row r="35" ht="15.75" customHeight="1">
      <c r="A35" s="2" t="s">
        <v>172</v>
      </c>
      <c r="B35" s="4" t="s">
        <v>153</v>
      </c>
      <c r="C35" s="2" t="s">
        <v>90</v>
      </c>
      <c r="D35" s="4" t="s">
        <v>31</v>
      </c>
      <c r="E35" s="4"/>
      <c r="F35" s="4"/>
      <c r="G35" s="4" t="s">
        <v>249</v>
      </c>
      <c r="H35" s="4" t="s">
        <v>35</v>
      </c>
      <c r="I35" s="4" t="s">
        <v>251</v>
      </c>
      <c r="J35" s="11"/>
      <c r="K35" s="11"/>
    </row>
    <row r="36" ht="15.75" customHeight="1">
      <c r="A36" s="9" t="s">
        <v>188</v>
      </c>
      <c r="B36" s="10" t="s">
        <v>153</v>
      </c>
      <c r="C36" s="9" t="s">
        <v>254</v>
      </c>
      <c r="D36" s="10" t="s">
        <v>40</v>
      </c>
      <c r="E36" s="10"/>
      <c r="F36" s="10"/>
      <c r="G36" s="10" t="s">
        <v>249</v>
      </c>
      <c r="H36" s="10"/>
      <c r="I36" s="10" t="s">
        <v>257</v>
      </c>
      <c r="J36" s="10"/>
      <c r="K36" s="10"/>
    </row>
    <row r="37" ht="15.75" customHeight="1">
      <c r="A37" s="2" t="s">
        <v>188</v>
      </c>
      <c r="B37" s="4" t="s">
        <v>153</v>
      </c>
      <c r="C37" s="2" t="s">
        <v>258</v>
      </c>
      <c r="D37" s="4" t="s">
        <v>43</v>
      </c>
      <c r="E37" s="4"/>
      <c r="F37" s="4"/>
      <c r="G37" s="4" t="s">
        <v>249</v>
      </c>
      <c r="H37" s="4" t="s">
        <v>71</v>
      </c>
      <c r="I37" s="4" t="s">
        <v>259</v>
      </c>
      <c r="J37" s="11"/>
      <c r="K37" s="11"/>
    </row>
    <row r="38" ht="15.75" customHeight="1">
      <c r="A38" s="9" t="s">
        <v>188</v>
      </c>
      <c r="B38" s="10" t="s">
        <v>153</v>
      </c>
      <c r="C38" s="9" t="s">
        <v>90</v>
      </c>
      <c r="D38" s="10" t="s">
        <v>31</v>
      </c>
      <c r="E38" s="10"/>
      <c r="F38" s="10"/>
      <c r="G38" s="10" t="s">
        <v>249</v>
      </c>
      <c r="H38" s="10" t="s">
        <v>35</v>
      </c>
      <c r="I38" s="10" t="s">
        <v>260</v>
      </c>
      <c r="J38" s="10"/>
      <c r="K38" s="10"/>
    </row>
    <row r="39" ht="15.75" customHeight="1">
      <c r="A39" s="2" t="s">
        <v>197</v>
      </c>
      <c r="B39" s="4" t="s">
        <v>153</v>
      </c>
      <c r="C39" s="2" t="s">
        <v>90</v>
      </c>
      <c r="D39" s="4" t="s">
        <v>31</v>
      </c>
      <c r="E39" s="4"/>
      <c r="F39" s="4"/>
      <c r="G39" s="4" t="s">
        <v>249</v>
      </c>
      <c r="H39" s="4" t="s">
        <v>35</v>
      </c>
      <c r="I39" s="4" t="s">
        <v>261</v>
      </c>
      <c r="J39" s="11"/>
      <c r="K39" s="11"/>
    </row>
    <row r="40" ht="15.75" customHeight="1">
      <c r="A40" s="9" t="s">
        <v>212</v>
      </c>
      <c r="B40" s="10" t="s">
        <v>153</v>
      </c>
      <c r="C40" s="9" t="s">
        <v>40</v>
      </c>
      <c r="D40" s="10" t="s">
        <v>40</v>
      </c>
      <c r="E40" s="10"/>
      <c r="F40" s="10"/>
      <c r="G40" s="10" t="s">
        <v>262</v>
      </c>
      <c r="H40" s="10"/>
      <c r="I40" s="10" t="s">
        <v>263</v>
      </c>
      <c r="J40" s="10"/>
      <c r="K40" s="10"/>
    </row>
    <row r="41" ht="15.75" customHeight="1">
      <c r="A41" s="2" t="s">
        <v>212</v>
      </c>
      <c r="B41" s="4" t="s">
        <v>153</v>
      </c>
      <c r="C41" s="2" t="s">
        <v>49</v>
      </c>
      <c r="D41" s="4" t="s">
        <v>43</v>
      </c>
      <c r="E41" s="4"/>
      <c r="F41" s="4"/>
      <c r="G41" s="4" t="s">
        <v>262</v>
      </c>
      <c r="H41" s="4" t="s">
        <v>58</v>
      </c>
      <c r="I41" s="4" t="s">
        <v>264</v>
      </c>
      <c r="J41" s="11"/>
      <c r="K41" s="11"/>
    </row>
    <row r="42" ht="15.75" customHeight="1">
      <c r="A42" s="9" t="s">
        <v>212</v>
      </c>
      <c r="B42" s="10" t="s">
        <v>153</v>
      </c>
      <c r="C42" s="9" t="s">
        <v>265</v>
      </c>
      <c r="D42" s="10" t="s">
        <v>43</v>
      </c>
      <c r="E42" s="10"/>
      <c r="F42" s="10"/>
      <c r="G42" s="10" t="s">
        <v>262</v>
      </c>
      <c r="H42" s="10" t="s">
        <v>44</v>
      </c>
      <c r="I42" s="10" t="s">
        <v>266</v>
      </c>
      <c r="J42" s="10"/>
      <c r="K42" s="10"/>
    </row>
    <row r="43" ht="15.75" customHeight="1">
      <c r="A43" s="2" t="s">
        <v>212</v>
      </c>
      <c r="B43" s="4" t="s">
        <v>153</v>
      </c>
      <c r="C43" s="2" t="s">
        <v>267</v>
      </c>
      <c r="D43" s="4" t="s">
        <v>31</v>
      </c>
      <c r="E43" s="4" t="s">
        <v>126</v>
      </c>
      <c r="F43" s="4"/>
      <c r="G43" s="4" t="s">
        <v>262</v>
      </c>
      <c r="H43" s="4" t="s">
        <v>268</v>
      </c>
      <c r="I43" s="4" t="s">
        <v>269</v>
      </c>
      <c r="J43" s="11"/>
      <c r="K43" s="11"/>
    </row>
    <row r="44" ht="15.75" customHeight="1">
      <c r="A44" s="9" t="s">
        <v>227</v>
      </c>
      <c r="B44" s="10" t="s">
        <v>153</v>
      </c>
      <c r="C44" s="9" t="s">
        <v>270</v>
      </c>
      <c r="D44" s="10" t="s">
        <v>221</v>
      </c>
      <c r="E44" s="10"/>
      <c r="F44" s="10"/>
      <c r="G44" s="10" t="s">
        <v>271</v>
      </c>
      <c r="H44" s="10"/>
      <c r="I44" s="10" t="s">
        <v>272</v>
      </c>
      <c r="J44" s="10"/>
      <c r="K44" s="10"/>
    </row>
    <row r="45" ht="15.75" customHeight="1">
      <c r="A45" s="2" t="s">
        <v>227</v>
      </c>
      <c r="B45" s="4" t="s">
        <v>153</v>
      </c>
      <c r="C45" s="2" t="s">
        <v>273</v>
      </c>
      <c r="D45" s="4" t="s">
        <v>274</v>
      </c>
      <c r="E45" s="4"/>
      <c r="F45" s="4"/>
      <c r="G45" s="4" t="s">
        <v>271</v>
      </c>
      <c r="H45" s="4"/>
      <c r="I45" s="4" t="s">
        <v>275</v>
      </c>
      <c r="J45" s="11"/>
      <c r="K45" s="11"/>
    </row>
    <row r="46" ht="15.75" customHeight="1">
      <c r="A46" s="9" t="s">
        <v>237</v>
      </c>
      <c r="B46" s="10" t="s">
        <v>238</v>
      </c>
      <c r="C46" s="9" t="s">
        <v>276</v>
      </c>
      <c r="D46" s="10" t="s">
        <v>274</v>
      </c>
      <c r="E46" s="10" t="s">
        <v>126</v>
      </c>
      <c r="F46" s="10"/>
      <c r="G46" s="10" t="s">
        <v>241</v>
      </c>
      <c r="H46" s="10" t="s">
        <v>277</v>
      </c>
      <c r="I46" s="10" t="s">
        <v>278</v>
      </c>
      <c r="J46" s="10"/>
      <c r="K46" s="10"/>
    </row>
    <row r="47" ht="15.75" customHeight="1">
      <c r="A47" s="2" t="s">
        <v>237</v>
      </c>
      <c r="B47" s="4" t="s">
        <v>238</v>
      </c>
      <c r="C47" s="2" t="s">
        <v>279</v>
      </c>
      <c r="D47" s="4" t="s">
        <v>207</v>
      </c>
      <c r="E47" s="4"/>
      <c r="F47" s="4"/>
      <c r="G47" s="4" t="s">
        <v>241</v>
      </c>
      <c r="H47" s="4" t="s">
        <v>209</v>
      </c>
      <c r="I47" s="4" t="s">
        <v>280</v>
      </c>
      <c r="J47" s="11"/>
      <c r="K47" s="11"/>
    </row>
    <row r="48" ht="15.75" customHeight="1">
      <c r="A48" s="9" t="s">
        <v>237</v>
      </c>
      <c r="B48" s="10" t="s">
        <v>238</v>
      </c>
      <c r="C48" s="9" t="s">
        <v>281</v>
      </c>
      <c r="D48" s="10" t="s">
        <v>207</v>
      </c>
      <c r="E48" s="10"/>
      <c r="F48" s="10"/>
      <c r="G48" s="10" t="s">
        <v>241</v>
      </c>
      <c r="H48" s="10" t="s">
        <v>209</v>
      </c>
      <c r="I48" s="10" t="s">
        <v>282</v>
      </c>
      <c r="J48" s="10"/>
      <c r="K48" s="10"/>
    </row>
    <row r="49" ht="15.75" customHeight="1">
      <c r="A49" s="2" t="s">
        <v>237</v>
      </c>
      <c r="B49" s="4" t="s">
        <v>238</v>
      </c>
      <c r="C49" s="2" t="s">
        <v>283</v>
      </c>
      <c r="D49" s="4" t="s">
        <v>207</v>
      </c>
      <c r="E49" s="4"/>
      <c r="F49" s="4"/>
      <c r="G49" s="4" t="s">
        <v>241</v>
      </c>
      <c r="H49" s="4" t="s">
        <v>209</v>
      </c>
      <c r="I49" s="4" t="s">
        <v>284</v>
      </c>
      <c r="J49" s="11"/>
      <c r="K49" s="11"/>
    </row>
    <row r="50" ht="15.75" customHeight="1">
      <c r="A50" s="9" t="s">
        <v>237</v>
      </c>
      <c r="B50" s="10" t="s">
        <v>238</v>
      </c>
      <c r="C50" s="9" t="s">
        <v>285</v>
      </c>
      <c r="D50" s="10" t="s">
        <v>207</v>
      </c>
      <c r="E50" s="10"/>
      <c r="F50" s="10"/>
      <c r="G50" s="10" t="s">
        <v>241</v>
      </c>
      <c r="H50" s="10" t="s">
        <v>209</v>
      </c>
      <c r="I50" s="10" t="s">
        <v>286</v>
      </c>
      <c r="J50" s="10"/>
      <c r="K50" s="10"/>
    </row>
    <row r="51" ht="15.75" customHeight="1">
      <c r="A51" s="2" t="s">
        <v>237</v>
      </c>
      <c r="B51" s="4" t="s">
        <v>238</v>
      </c>
      <c r="C51" s="2" t="s">
        <v>287</v>
      </c>
      <c r="D51" s="4" t="s">
        <v>40</v>
      </c>
      <c r="E51" s="4" t="s">
        <v>126</v>
      </c>
      <c r="F51" s="4"/>
      <c r="G51" s="4" t="s">
        <v>288</v>
      </c>
      <c r="H51" s="4" t="s">
        <v>289</v>
      </c>
      <c r="I51" s="4" t="s">
        <v>290</v>
      </c>
      <c r="J51" s="11"/>
      <c r="K51" s="11"/>
    </row>
    <row r="52" ht="15.75" customHeight="1">
      <c r="A52" s="9" t="s">
        <v>245</v>
      </c>
      <c r="B52" s="10" t="s">
        <v>246</v>
      </c>
      <c r="C52" s="9" t="s">
        <v>291</v>
      </c>
      <c r="D52" s="10" t="s">
        <v>274</v>
      </c>
      <c r="E52" s="10"/>
      <c r="F52" s="10"/>
      <c r="G52" s="10" t="s">
        <v>241</v>
      </c>
      <c r="H52" s="10"/>
      <c r="I52" s="10" t="s">
        <v>292</v>
      </c>
      <c r="J52" s="10"/>
      <c r="K52" s="10"/>
    </row>
    <row r="53" ht="15.75" customHeight="1">
      <c r="A53" s="2" t="s">
        <v>245</v>
      </c>
      <c r="B53" s="4" t="s">
        <v>246</v>
      </c>
      <c r="C53" s="2" t="s">
        <v>293</v>
      </c>
      <c r="D53" s="4" t="s">
        <v>221</v>
      </c>
      <c r="E53" s="4"/>
      <c r="F53" s="4"/>
      <c r="G53" s="4" t="s">
        <v>294</v>
      </c>
      <c r="H53" s="4" t="s">
        <v>295</v>
      </c>
      <c r="I53" s="4" t="s">
        <v>296</v>
      </c>
      <c r="J53" s="11"/>
      <c r="K53" s="11"/>
    </row>
    <row r="54" ht="15.75" customHeight="1">
      <c r="A54" s="9" t="s">
        <v>245</v>
      </c>
      <c r="B54" s="10" t="s">
        <v>246</v>
      </c>
      <c r="C54" s="9" t="s">
        <v>297</v>
      </c>
      <c r="D54" s="10" t="s">
        <v>40</v>
      </c>
      <c r="E54" s="10" t="s">
        <v>126</v>
      </c>
      <c r="F54" s="10"/>
      <c r="G54" s="10" t="s">
        <v>241</v>
      </c>
      <c r="H54" s="10" t="s">
        <v>289</v>
      </c>
      <c r="I54" s="10" t="s">
        <v>298</v>
      </c>
      <c r="J54" s="10"/>
      <c r="K54" s="10"/>
    </row>
    <row r="55" ht="15.75" customHeight="1">
      <c r="A55" s="2" t="s">
        <v>245</v>
      </c>
      <c r="B55" s="4" t="s">
        <v>246</v>
      </c>
      <c r="C55" s="2" t="s">
        <v>299</v>
      </c>
      <c r="D55" s="4" t="s">
        <v>300</v>
      </c>
      <c r="E55" s="4"/>
      <c r="F55" s="4"/>
      <c r="G55" s="4" t="s">
        <v>241</v>
      </c>
      <c r="H55" s="4"/>
      <c r="I55" s="4" t="s">
        <v>301</v>
      </c>
      <c r="J55" s="11"/>
      <c r="K55" s="11"/>
    </row>
    <row r="56" ht="15.75" customHeight="1">
      <c r="A56" s="9" t="s">
        <v>252</v>
      </c>
      <c r="B56" s="10" t="s">
        <v>253</v>
      </c>
      <c r="C56" s="9" t="s">
        <v>302</v>
      </c>
      <c r="D56" s="10" t="s">
        <v>43</v>
      </c>
      <c r="E56" s="10"/>
      <c r="F56" s="10"/>
      <c r="G56" s="10" t="s">
        <v>34</v>
      </c>
      <c r="H56" s="10" t="s">
        <v>303</v>
      </c>
      <c r="I56" s="10" t="s">
        <v>304</v>
      </c>
      <c r="J56" s="10"/>
      <c r="K56" s="10"/>
    </row>
    <row r="57" ht="15.75" customHeight="1">
      <c r="A57" s="2" t="s">
        <v>252</v>
      </c>
      <c r="B57" s="4" t="s">
        <v>253</v>
      </c>
      <c r="C57" s="2" t="s">
        <v>305</v>
      </c>
      <c r="D57" s="4" t="s">
        <v>43</v>
      </c>
      <c r="E57" s="4"/>
      <c r="F57" s="4"/>
      <c r="G57" s="4" t="s">
        <v>34</v>
      </c>
      <c r="H57" s="4" t="s">
        <v>306</v>
      </c>
      <c r="I57" s="4" t="s">
        <v>304</v>
      </c>
      <c r="J57" s="11"/>
      <c r="K57" s="1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A$1:$K$5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8.0"/>
    <col customWidth="1" min="3" max="3" width="34.0"/>
    <col customWidth="1" min="4" max="4" width="60.0"/>
    <col customWidth="1" min="5" max="5" width="14.0"/>
    <col customWidth="1" min="6" max="26" width="8.71"/>
  </cols>
  <sheetData>
    <row r="1" ht="27.7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>
      <c r="A2" s="2" t="s">
        <v>25</v>
      </c>
      <c r="B2" s="4">
        <v>0.0</v>
      </c>
      <c r="C2" s="2" t="s">
        <v>27</v>
      </c>
      <c r="D2" s="4" t="s">
        <v>28</v>
      </c>
      <c r="E2" s="4">
        <f t="shared" ref="E2:E37" si="1">COUNTIF($A:$A,$A2)</f>
        <v>4</v>
      </c>
    </row>
    <row r="3">
      <c r="A3" s="9" t="s">
        <v>25</v>
      </c>
      <c r="B3" s="10">
        <v>1.0</v>
      </c>
      <c r="C3" s="9" t="s">
        <v>48</v>
      </c>
      <c r="D3" s="10" t="s">
        <v>50</v>
      </c>
      <c r="E3" s="10">
        <f t="shared" si="1"/>
        <v>4</v>
      </c>
    </row>
    <row r="4">
      <c r="A4" s="2" t="s">
        <v>25</v>
      </c>
      <c r="B4" s="4">
        <v>2.0</v>
      </c>
      <c r="C4" s="2" t="s">
        <v>55</v>
      </c>
      <c r="D4" s="4" t="s">
        <v>56</v>
      </c>
      <c r="E4" s="4">
        <f t="shared" si="1"/>
        <v>4</v>
      </c>
    </row>
    <row r="5">
      <c r="A5" s="9" t="s">
        <v>25</v>
      </c>
      <c r="B5" s="10">
        <v>3.0</v>
      </c>
      <c r="C5" s="9" t="s">
        <v>62</v>
      </c>
      <c r="D5" s="10" t="s">
        <v>63</v>
      </c>
      <c r="E5" s="10">
        <f t="shared" si="1"/>
        <v>4</v>
      </c>
    </row>
    <row r="6">
      <c r="A6" s="2" t="s">
        <v>65</v>
      </c>
      <c r="B6" s="4">
        <v>0.0</v>
      </c>
      <c r="C6" s="2" t="s">
        <v>67</v>
      </c>
      <c r="D6" s="4" t="s">
        <v>70</v>
      </c>
      <c r="E6" s="4">
        <f t="shared" si="1"/>
        <v>5</v>
      </c>
    </row>
    <row r="7">
      <c r="A7" s="9" t="s">
        <v>65</v>
      </c>
      <c r="B7" s="10">
        <v>1.0</v>
      </c>
      <c r="C7" s="9" t="s">
        <v>77</v>
      </c>
      <c r="D7" s="10" t="s">
        <v>79</v>
      </c>
      <c r="E7" s="10">
        <f t="shared" si="1"/>
        <v>5</v>
      </c>
    </row>
    <row r="8">
      <c r="A8" s="2" t="s">
        <v>65</v>
      </c>
      <c r="B8" s="4">
        <v>2.0</v>
      </c>
      <c r="C8" s="2" t="s">
        <v>83</v>
      </c>
      <c r="D8" s="4" t="s">
        <v>84</v>
      </c>
      <c r="E8" s="4">
        <f t="shared" si="1"/>
        <v>5</v>
      </c>
    </row>
    <row r="9">
      <c r="A9" s="9" t="s">
        <v>65</v>
      </c>
      <c r="B9" s="10">
        <v>3.0</v>
      </c>
      <c r="C9" s="9" t="s">
        <v>91</v>
      </c>
      <c r="D9" s="10" t="s">
        <v>92</v>
      </c>
      <c r="E9" s="10">
        <f t="shared" si="1"/>
        <v>5</v>
      </c>
    </row>
    <row r="10">
      <c r="A10" s="2" t="s">
        <v>65</v>
      </c>
      <c r="B10" s="4">
        <v>4.0</v>
      </c>
      <c r="C10" s="2" t="s">
        <v>94</v>
      </c>
      <c r="D10" s="4" t="s">
        <v>96</v>
      </c>
      <c r="E10" s="4">
        <f t="shared" si="1"/>
        <v>5</v>
      </c>
    </row>
    <row r="11">
      <c r="A11" s="9" t="s">
        <v>103</v>
      </c>
      <c r="B11" s="10">
        <v>0.0</v>
      </c>
      <c r="C11" s="9" t="s">
        <v>105</v>
      </c>
      <c r="D11" s="10" t="s">
        <v>70</v>
      </c>
      <c r="E11" s="10">
        <f t="shared" si="1"/>
        <v>6</v>
      </c>
    </row>
    <row r="12">
      <c r="A12" s="2" t="s">
        <v>103</v>
      </c>
      <c r="B12" s="4">
        <v>1.0</v>
      </c>
      <c r="C12" s="2" t="s">
        <v>107</v>
      </c>
      <c r="D12" s="4" t="s">
        <v>108</v>
      </c>
      <c r="E12" s="4">
        <f t="shared" si="1"/>
        <v>6</v>
      </c>
    </row>
    <row r="13">
      <c r="A13" s="9" t="s">
        <v>103</v>
      </c>
      <c r="B13" s="10">
        <v>2.0</v>
      </c>
      <c r="C13" s="9" t="s">
        <v>112</v>
      </c>
      <c r="D13" s="10" t="s">
        <v>113</v>
      </c>
      <c r="E13" s="10">
        <f t="shared" si="1"/>
        <v>6</v>
      </c>
    </row>
    <row r="14">
      <c r="A14" s="2" t="s">
        <v>103</v>
      </c>
      <c r="B14" s="4">
        <v>3.0</v>
      </c>
      <c r="C14" s="2" t="s">
        <v>117</v>
      </c>
      <c r="D14" s="4" t="s">
        <v>118</v>
      </c>
      <c r="E14" s="4">
        <f t="shared" si="1"/>
        <v>6</v>
      </c>
    </row>
    <row r="15">
      <c r="A15" s="9" t="s">
        <v>103</v>
      </c>
      <c r="B15" s="10">
        <v>4.0</v>
      </c>
      <c r="C15" s="9" t="s">
        <v>121</v>
      </c>
      <c r="D15" s="10" t="s">
        <v>124</v>
      </c>
      <c r="E15" s="10">
        <f t="shared" si="1"/>
        <v>6</v>
      </c>
    </row>
    <row r="16">
      <c r="A16" s="2" t="s">
        <v>103</v>
      </c>
      <c r="B16" s="4">
        <v>5.0</v>
      </c>
      <c r="C16" s="2" t="s">
        <v>127</v>
      </c>
      <c r="D16" s="4" t="s">
        <v>128</v>
      </c>
      <c r="E16" s="4">
        <f t="shared" si="1"/>
        <v>6</v>
      </c>
    </row>
    <row r="17">
      <c r="A17" s="9" t="s">
        <v>131</v>
      </c>
      <c r="B17" s="10">
        <v>0.0</v>
      </c>
      <c r="C17" s="9" t="s">
        <v>133</v>
      </c>
      <c r="D17" s="10" t="s">
        <v>70</v>
      </c>
      <c r="E17" s="10">
        <f t="shared" si="1"/>
        <v>5</v>
      </c>
    </row>
    <row r="18">
      <c r="A18" s="2" t="s">
        <v>131</v>
      </c>
      <c r="B18" s="4">
        <v>1.0</v>
      </c>
      <c r="C18" s="2" t="s">
        <v>138</v>
      </c>
      <c r="D18" s="4"/>
      <c r="E18" s="4">
        <f t="shared" si="1"/>
        <v>5</v>
      </c>
    </row>
    <row r="19">
      <c r="A19" s="9" t="s">
        <v>131</v>
      </c>
      <c r="B19" s="10">
        <v>2.0</v>
      </c>
      <c r="C19" s="9" t="s">
        <v>139</v>
      </c>
      <c r="D19" s="10"/>
      <c r="E19" s="10">
        <f t="shared" si="1"/>
        <v>5</v>
      </c>
    </row>
    <row r="20">
      <c r="A20" s="2" t="s">
        <v>131</v>
      </c>
      <c r="B20" s="4">
        <v>3.0</v>
      </c>
      <c r="C20" s="2" t="s">
        <v>142</v>
      </c>
      <c r="D20" s="4"/>
      <c r="E20" s="4">
        <f t="shared" si="1"/>
        <v>5</v>
      </c>
    </row>
    <row r="21" ht="15.75" customHeight="1">
      <c r="A21" s="9" t="s">
        <v>131</v>
      </c>
      <c r="B21" s="10">
        <v>4.0</v>
      </c>
      <c r="C21" s="9" t="s">
        <v>145</v>
      </c>
      <c r="D21" s="10" t="s">
        <v>146</v>
      </c>
      <c r="E21" s="10">
        <f t="shared" si="1"/>
        <v>5</v>
      </c>
    </row>
    <row r="22" ht="15.75" customHeight="1">
      <c r="A22" s="2" t="s">
        <v>148</v>
      </c>
      <c r="B22" s="4">
        <v>0.0</v>
      </c>
      <c r="C22" s="2" t="s">
        <v>149</v>
      </c>
      <c r="D22" s="4" t="s">
        <v>150</v>
      </c>
      <c r="E22" s="4">
        <f t="shared" si="1"/>
        <v>3</v>
      </c>
    </row>
    <row r="23" ht="15.75" customHeight="1">
      <c r="A23" s="9" t="s">
        <v>148</v>
      </c>
      <c r="B23" s="10">
        <v>1.0</v>
      </c>
      <c r="C23" s="9" t="s">
        <v>156</v>
      </c>
      <c r="D23" s="10" t="s">
        <v>160</v>
      </c>
      <c r="E23" s="10">
        <f t="shared" si="1"/>
        <v>3</v>
      </c>
    </row>
    <row r="24" ht="15.75" customHeight="1">
      <c r="A24" s="2" t="s">
        <v>148</v>
      </c>
      <c r="B24" s="4">
        <v>2.0</v>
      </c>
      <c r="C24" s="2" t="s">
        <v>163</v>
      </c>
      <c r="D24" s="4" t="s">
        <v>165</v>
      </c>
      <c r="E24" s="4">
        <f t="shared" si="1"/>
        <v>3</v>
      </c>
    </row>
    <row r="25" ht="15.75" customHeight="1">
      <c r="A25" s="9" t="s">
        <v>169</v>
      </c>
      <c r="B25" s="10">
        <v>0.0</v>
      </c>
      <c r="C25" s="9" t="s">
        <v>170</v>
      </c>
      <c r="D25" s="10" t="s">
        <v>70</v>
      </c>
      <c r="E25" s="10">
        <f t="shared" si="1"/>
        <v>3</v>
      </c>
    </row>
    <row r="26" ht="15.75" customHeight="1">
      <c r="A26" s="2" t="s">
        <v>169</v>
      </c>
      <c r="B26" s="4">
        <v>1.0</v>
      </c>
      <c r="C26" s="2" t="s">
        <v>173</v>
      </c>
      <c r="D26" s="4" t="s">
        <v>176</v>
      </c>
      <c r="E26" s="4">
        <f t="shared" si="1"/>
        <v>3</v>
      </c>
    </row>
    <row r="27" ht="15.75" customHeight="1">
      <c r="A27" s="9" t="s">
        <v>169</v>
      </c>
      <c r="B27" s="10">
        <v>2.0</v>
      </c>
      <c r="C27" s="9" t="s">
        <v>179</v>
      </c>
      <c r="D27" s="10" t="s">
        <v>180</v>
      </c>
      <c r="E27" s="10">
        <f t="shared" si="1"/>
        <v>3</v>
      </c>
    </row>
    <row r="28" ht="15.75" customHeight="1">
      <c r="A28" s="2" t="s">
        <v>181</v>
      </c>
      <c r="B28" s="4">
        <v>0.0</v>
      </c>
      <c r="C28" s="2" t="s">
        <v>182</v>
      </c>
      <c r="D28" s="4" t="s">
        <v>183</v>
      </c>
      <c r="E28" s="4">
        <f t="shared" si="1"/>
        <v>6</v>
      </c>
    </row>
    <row r="29" ht="15.75" customHeight="1">
      <c r="A29" s="9" t="s">
        <v>181</v>
      </c>
      <c r="B29" s="10">
        <v>1.0</v>
      </c>
      <c r="C29" s="9" t="s">
        <v>185</v>
      </c>
      <c r="D29" s="10" t="s">
        <v>186</v>
      </c>
      <c r="E29" s="10">
        <f t="shared" si="1"/>
        <v>6</v>
      </c>
    </row>
    <row r="30" ht="15.75" customHeight="1">
      <c r="A30" s="2" t="s">
        <v>181</v>
      </c>
      <c r="B30" s="4">
        <v>2.0</v>
      </c>
      <c r="C30" s="2" t="s">
        <v>191</v>
      </c>
      <c r="D30" s="4" t="s">
        <v>192</v>
      </c>
      <c r="E30" s="4">
        <f t="shared" si="1"/>
        <v>6</v>
      </c>
    </row>
    <row r="31" ht="15.75" customHeight="1">
      <c r="A31" s="9" t="s">
        <v>181</v>
      </c>
      <c r="B31" s="10">
        <v>3.0</v>
      </c>
      <c r="C31" s="9" t="s">
        <v>195</v>
      </c>
      <c r="D31" s="10" t="s">
        <v>196</v>
      </c>
      <c r="E31" s="10">
        <f t="shared" si="1"/>
        <v>6</v>
      </c>
    </row>
    <row r="32" ht="15.75" customHeight="1">
      <c r="A32" s="2" t="s">
        <v>181</v>
      </c>
      <c r="B32" s="4">
        <v>4.0</v>
      </c>
      <c r="C32" s="2" t="s">
        <v>201</v>
      </c>
      <c r="D32" s="4" t="s">
        <v>202</v>
      </c>
      <c r="E32" s="4">
        <f t="shared" si="1"/>
        <v>6</v>
      </c>
    </row>
    <row r="33" ht="15.75" customHeight="1">
      <c r="A33" s="9" t="s">
        <v>181</v>
      </c>
      <c r="B33" s="10">
        <v>5.0</v>
      </c>
      <c r="C33" s="9" t="s">
        <v>204</v>
      </c>
      <c r="D33" s="10" t="s">
        <v>206</v>
      </c>
      <c r="E33" s="10">
        <f t="shared" si="1"/>
        <v>6</v>
      </c>
    </row>
    <row r="34" ht="15.75" customHeight="1">
      <c r="A34" s="2" t="s">
        <v>208</v>
      </c>
      <c r="B34" s="4">
        <v>0.0</v>
      </c>
      <c r="C34" s="2" t="s">
        <v>210</v>
      </c>
      <c r="D34" s="4" t="s">
        <v>70</v>
      </c>
      <c r="E34" s="4">
        <f t="shared" si="1"/>
        <v>4</v>
      </c>
    </row>
    <row r="35" ht="15.75" customHeight="1">
      <c r="A35" s="9" t="s">
        <v>208</v>
      </c>
      <c r="B35" s="10">
        <v>1.0</v>
      </c>
      <c r="C35" s="9" t="s">
        <v>215</v>
      </c>
      <c r="D35" s="10" t="s">
        <v>216</v>
      </c>
      <c r="E35" s="10">
        <f t="shared" si="1"/>
        <v>4</v>
      </c>
    </row>
    <row r="36" ht="15.75" customHeight="1">
      <c r="A36" s="2" t="s">
        <v>208</v>
      </c>
      <c r="B36" s="4">
        <v>2.0</v>
      </c>
      <c r="C36" s="2" t="s">
        <v>218</v>
      </c>
      <c r="D36" s="4" t="s">
        <v>219</v>
      </c>
      <c r="E36" s="4">
        <f t="shared" si="1"/>
        <v>4</v>
      </c>
    </row>
    <row r="37" ht="15.75" customHeight="1">
      <c r="A37" s="9" t="s">
        <v>208</v>
      </c>
      <c r="B37" s="10">
        <v>3.0</v>
      </c>
      <c r="C37" s="9" t="s">
        <v>225</v>
      </c>
      <c r="D37" s="10" t="s">
        <v>226</v>
      </c>
      <c r="E37" s="10">
        <f t="shared" si="1"/>
        <v>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2026-09-07T21:54:34Z</dcterms:created>
  <dc:creator>openpyxl</dc:creator>
</cp:coreProperties>
</file>